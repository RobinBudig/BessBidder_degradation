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in/Desktop/BessBidder Projekt/"/>
    </mc:Choice>
  </mc:AlternateContent>
  <xr:revisionPtr revIDLastSave="0" documentId="13_ncr:1_{0FCF23C1-F599-BE41-B654-AA2D87F22A4F}" xr6:coauthVersionLast="47" xr6:coauthVersionMax="47" xr10:uidLastSave="{00000000-0000-0000-0000-000000000000}"/>
  <bookViews>
    <workbookView xWindow="3740" yWindow="2500" windowWidth="27840" windowHeight="16740" activeTab="1" xr2:uid="{A1B702EB-78DA-5D42-A6B8-4D80C37BB85B}"/>
  </bookViews>
  <sheets>
    <sheet name="Raw_Results_SeminarPaper_230126" sheetId="1" r:id="rId1"/>
    <sheet name="Parameters_Config.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3" i="1"/>
  <c r="H4" i="1"/>
  <c r="H5" i="1"/>
  <c r="H6" i="1"/>
  <c r="H7" i="1"/>
  <c r="H8" i="1"/>
  <c r="H9" i="1"/>
  <c r="H10" i="1"/>
  <c r="H11" i="1"/>
  <c r="H12" i="1"/>
  <c r="H13" i="1"/>
  <c r="H2" i="1"/>
</calcChain>
</file>

<file path=xl/sharedStrings.xml><?xml version="1.0" encoding="utf-8"?>
<sst xmlns="http://schemas.openxmlformats.org/spreadsheetml/2006/main" count="28" uniqueCount="28">
  <si>
    <t>C_RATE  1</t>
  </si>
  <si>
    <t>START</t>
  </si>
  <si>
    <t>END</t>
  </si>
  <si>
    <t xml:space="preserve">RTE  </t>
  </si>
  <si>
    <t xml:space="preserve">MAX_CYCLES_LIFETIME </t>
  </si>
  <si>
    <t xml:space="preserve">LIFETIME_YEARS </t>
  </si>
  <si>
    <t xml:space="preserve">EFFICIENCY </t>
  </si>
  <si>
    <t>RTE **0,5</t>
  </si>
  <si>
    <t>BATTERY_CAPACITY</t>
  </si>
  <si>
    <t>BUCKET_SIZE</t>
  </si>
  <si>
    <t>MIN_TRADES</t>
  </si>
  <si>
    <t>COU</t>
  </si>
  <si>
    <t>DA_Revenue</t>
  </si>
  <si>
    <t xml:space="preserve">DA_Cycles </t>
  </si>
  <si>
    <t xml:space="preserve">IDC_Revenue </t>
  </si>
  <si>
    <t>IDC_Cycles_real</t>
  </si>
  <si>
    <t>IDC_Cycles_total</t>
  </si>
  <si>
    <t>DA_Revenue _no_constraint</t>
  </si>
  <si>
    <t>Da_Cycles_no_constraint</t>
  </si>
  <si>
    <t xml:space="preserve">Myopic_Revenue </t>
  </si>
  <si>
    <t>Myopic_IDC_Cycles_real</t>
  </si>
  <si>
    <t>Myopic_IDC_Cycles_total</t>
  </si>
  <si>
    <t xml:space="preserve">Myopic_DA_Cycles </t>
  </si>
  <si>
    <t>Myopic_Revenue_no_constraint</t>
  </si>
  <si>
    <t>Myopic_IDC_Cycles_real_no_constraint</t>
  </si>
  <si>
    <t>Myopic_IDC_Cycles_total_no_constraint</t>
  </si>
  <si>
    <t>Myopic_DA_Cycles _no_constraint</t>
  </si>
  <si>
    <t>IDC_Cycles_virtual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</si>
</sst>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14" fontId="0" fillId="0" borderId="0" xfId="0" applyNumberFormat="1"/>
    <xf numFmtId="14" fontId="2" fillId="0" borderId="0" xfId="0" applyNumberFormat="1" applyFont="1"/>
    <xf numFmtId="3" fontId="0" fillId="0" borderId="0" xfId="0" applyNumberFormat="1"/>
    <xf numFmtId="0" fontId="3" fillId="0" borderId="0" xfId="0" applyFont="1"/>
    <xf numFmtId="0" fontId="4" fillId="0" borderId="3" xfId="0" applyFont="1" applyBorder="1"/>
    <xf numFmtId="0" fontId="0" fillId="0" borderId="1" xfId="0" applyBorder="1"/>
    <xf numFmtId="0" fontId="4" fillId="0" borderId="1" xfId="0" applyFont="1" applyBorder="1"/>
    <xf numFmtId="0" fontId="0" fillId="0" borderId="2" xfId="0" applyBorder="1"/>
    <xf numFmtId="0" fontId="4" fillId="0" borderId="2" xfId="0" applyFont="1" applyBorder="1"/>
    <xf numFmtId="0" fontId="4" fillId="0" borderId="4" xfId="0" applyFont="1" applyBorder="1"/>
    <xf numFmtId="2" fontId="0" fillId="0" borderId="5" xfId="0" applyNumberFormat="1" applyBorder="1"/>
    <xf numFmtId="2" fontId="3" fillId="0" borderId="5" xfId="0" applyNumberFormat="1" applyFont="1" applyBorder="1"/>
    <xf numFmtId="2" fontId="0" fillId="0" borderId="6" xfId="0" applyNumberFormat="1" applyBorder="1"/>
    <xf numFmtId="2" fontId="3" fillId="0" borderId="6" xfId="0" applyNumberFormat="1" applyFont="1" applyBorder="1"/>
    <xf numFmtId="2" fontId="0" fillId="0" borderId="0" xfId="0" applyNumberFormat="1"/>
    <xf numFmtId="2" fontId="0" fillId="0" borderId="1" xfId="0" applyNumberFormat="1" applyBorder="1"/>
    <xf numFmtId="2" fontId="3" fillId="0" borderId="1" xfId="0" applyNumberFormat="1" applyFont="1" applyBorder="1"/>
    <xf numFmtId="2" fontId="0" fillId="0" borderId="2" xfId="0" applyNumberFormat="1" applyBorder="1"/>
    <xf numFmtId="2" fontId="3" fillId="0" borderId="2" xfId="0" applyNumberFormat="1" applyFont="1" applyBorder="1"/>
    <xf numFmtId="2" fontId="0" fillId="0" borderId="0" xfId="0" applyNumberFormat="1" applyAlignment="1">
      <alignment horizontal="center"/>
    </xf>
    <xf numFmtId="2" fontId="1" fillId="0" borderId="4" xfId="0" applyNumberFormat="1" applyFont="1" applyBorder="1"/>
    <xf numFmtId="2" fontId="1" fillId="0" borderId="3" xfId="0" applyNumberFormat="1" applyFont="1" applyBorder="1"/>
    <xf numFmtId="2" fontId="3" fillId="0" borderId="0" xfId="0" applyNumberFormat="1" applyFont="1" applyBorder="1"/>
    <xf numFmtId="0" fontId="0" fillId="0" borderId="0" xfId="0" applyBorder="1"/>
    <xf numFmtId="0" fontId="3" fillId="0" borderId="0" xfId="0" applyFont="1" applyBorder="1"/>
    <xf numFmtId="2" fontId="0" fillId="0" borderId="0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CBB8-4219-D24E-93E6-F9B3A874A2A9}">
  <dimension ref="A1:R18"/>
  <sheetViews>
    <sheetView workbookViewId="0">
      <selection activeCell="H35" sqref="H35"/>
    </sheetView>
  </sheetViews>
  <sheetFormatPr baseColWidth="10" defaultRowHeight="16" x14ac:dyDescent="0.2"/>
  <cols>
    <col min="3" max="3" width="28" customWidth="1"/>
    <col min="4" max="4" width="19.5" customWidth="1"/>
    <col min="5" max="5" width="24" customWidth="1"/>
    <col min="6" max="6" width="19.33203125" customWidth="1"/>
    <col min="7" max="8" width="26.1640625" customWidth="1"/>
    <col min="9" max="9" width="20.6640625" customWidth="1"/>
    <col min="10" max="10" width="28.1640625" customWidth="1"/>
    <col min="13" max="13" width="24" customWidth="1"/>
  </cols>
  <sheetData>
    <row r="1" spans="1:18" x14ac:dyDescent="0.2">
      <c r="A1" s="5" t="s">
        <v>11</v>
      </c>
      <c r="B1" s="7" t="s">
        <v>12</v>
      </c>
      <c r="C1" s="9" t="s">
        <v>13</v>
      </c>
      <c r="D1" s="21" t="s">
        <v>17</v>
      </c>
      <c r="E1" s="22" t="s">
        <v>18</v>
      </c>
      <c r="F1" s="10" t="s">
        <v>14</v>
      </c>
      <c r="G1" s="5" t="s">
        <v>15</v>
      </c>
      <c r="H1" s="5" t="s">
        <v>27</v>
      </c>
      <c r="I1" s="5" t="s">
        <v>16</v>
      </c>
      <c r="J1" s="10" t="s">
        <v>19</v>
      </c>
      <c r="K1" s="5" t="s">
        <v>20</v>
      </c>
      <c r="L1" s="5" t="s">
        <v>21</v>
      </c>
      <c r="M1" s="5" t="s">
        <v>22</v>
      </c>
      <c r="N1" s="10" t="s">
        <v>23</v>
      </c>
      <c r="O1" s="5" t="s">
        <v>24</v>
      </c>
      <c r="P1" s="5" t="s">
        <v>25</v>
      </c>
      <c r="Q1" s="5" t="s">
        <v>26</v>
      </c>
      <c r="R1" s="20"/>
    </row>
    <row r="2" spans="1:18" x14ac:dyDescent="0.2">
      <c r="A2" s="4">
        <v>0</v>
      </c>
      <c r="B2" s="12">
        <v>10246.73</v>
      </c>
      <c r="C2" s="14">
        <v>631</v>
      </c>
      <c r="D2" s="11">
        <v>8095.1315999999997</v>
      </c>
      <c r="E2" s="13">
        <v>494.18200000000002</v>
      </c>
      <c r="F2" s="17">
        <v>85245.57</v>
      </c>
      <c r="G2" s="23">
        <v>2165.3200000000002</v>
      </c>
      <c r="H2" s="23">
        <f>I2-G2</f>
        <v>11197.33</v>
      </c>
      <c r="I2" s="23">
        <v>13362.65</v>
      </c>
      <c r="J2" s="17">
        <v>54372.1</v>
      </c>
      <c r="K2" s="23">
        <v>1357.88</v>
      </c>
      <c r="L2" s="23">
        <v>6172.1</v>
      </c>
      <c r="M2" s="25">
        <v>631</v>
      </c>
      <c r="N2" s="16">
        <v>61924.9</v>
      </c>
      <c r="O2" s="26">
        <v>1523.7949052739</v>
      </c>
      <c r="P2" s="26">
        <v>7699.93</v>
      </c>
      <c r="Q2" s="24">
        <v>494.18200000000002</v>
      </c>
    </row>
    <row r="3" spans="1:18" x14ac:dyDescent="0.2">
      <c r="A3" s="4">
        <v>1</v>
      </c>
      <c r="B3" s="17">
        <v>10233.09</v>
      </c>
      <c r="C3" s="19">
        <v>604</v>
      </c>
      <c r="D3" s="16">
        <v>8332.0956999999999</v>
      </c>
      <c r="E3" s="18">
        <v>494.18200000000002</v>
      </c>
      <c r="F3" s="17">
        <v>65233.35</v>
      </c>
      <c r="G3" s="23">
        <v>1160.71</v>
      </c>
      <c r="H3" s="23">
        <f t="shared" ref="H3:H14" si="0">I3-G3</f>
        <v>6325.1</v>
      </c>
      <c r="I3" s="23">
        <v>7485.81</v>
      </c>
      <c r="J3" s="17">
        <v>47658.559999999998</v>
      </c>
      <c r="K3" s="23">
        <v>906.29</v>
      </c>
      <c r="L3" s="23">
        <v>3906.49</v>
      </c>
      <c r="M3" s="25">
        <v>604</v>
      </c>
      <c r="N3" s="16">
        <v>51666.47</v>
      </c>
      <c r="O3" s="26">
        <v>964.78316015906</v>
      </c>
      <c r="P3" s="26">
        <v>4564.78</v>
      </c>
      <c r="Q3" s="24">
        <v>494.18200000000002</v>
      </c>
    </row>
    <row r="4" spans="1:18" x14ac:dyDescent="0.2">
      <c r="A4" s="4">
        <v>2</v>
      </c>
      <c r="B4" s="17">
        <v>10195.93</v>
      </c>
      <c r="C4" s="19">
        <v>579</v>
      </c>
      <c r="D4" s="16">
        <v>8695.3049354658597</v>
      </c>
      <c r="E4" s="18">
        <v>494.18200000000002</v>
      </c>
      <c r="F4" s="17">
        <v>49455.71</v>
      </c>
      <c r="G4" s="23">
        <v>685.57</v>
      </c>
      <c r="H4" s="23">
        <f t="shared" si="0"/>
        <v>3991.7899999999995</v>
      </c>
      <c r="I4" s="23">
        <v>4677.3599999999997</v>
      </c>
      <c r="J4" s="17">
        <v>41264.43</v>
      </c>
      <c r="K4" s="23">
        <v>676.78</v>
      </c>
      <c r="L4" s="23">
        <v>2802.83</v>
      </c>
      <c r="M4" s="25">
        <v>579</v>
      </c>
      <c r="N4" s="16">
        <v>42810.76</v>
      </c>
      <c r="O4" s="26">
        <v>687.08399800434199</v>
      </c>
      <c r="P4" s="26">
        <v>3069.53</v>
      </c>
      <c r="Q4" s="24">
        <v>494.18200000000002</v>
      </c>
    </row>
    <row r="5" spans="1:18" x14ac:dyDescent="0.2">
      <c r="A5" s="4">
        <v>3</v>
      </c>
      <c r="B5" s="17">
        <v>10141.15</v>
      </c>
      <c r="C5" s="19">
        <v>557</v>
      </c>
      <c r="D5" s="16">
        <v>9017.4835754554497</v>
      </c>
      <c r="E5" s="18">
        <v>494.18200000000002</v>
      </c>
      <c r="F5" s="17">
        <v>37577.199999999997</v>
      </c>
      <c r="G5" s="23">
        <v>425.46</v>
      </c>
      <c r="H5" s="23">
        <f t="shared" si="0"/>
        <v>2682.67</v>
      </c>
      <c r="I5" s="23">
        <v>3108.13</v>
      </c>
      <c r="J5" s="17">
        <v>37459.78</v>
      </c>
      <c r="K5" s="23">
        <v>562.03</v>
      </c>
      <c r="L5" s="23">
        <v>2370.3000000000002</v>
      </c>
      <c r="M5" s="25">
        <v>557</v>
      </c>
      <c r="N5" s="16">
        <v>38005.760000000002</v>
      </c>
      <c r="O5" s="26">
        <v>555.88030199698903</v>
      </c>
      <c r="P5" s="26">
        <v>2468.65</v>
      </c>
      <c r="Q5" s="24">
        <v>494.18200000000002</v>
      </c>
    </row>
    <row r="6" spans="1:18" x14ac:dyDescent="0.2">
      <c r="A6" s="4">
        <v>4</v>
      </c>
      <c r="B6" s="17">
        <v>10035.33</v>
      </c>
      <c r="C6" s="19">
        <v>527</v>
      </c>
      <c r="D6" s="16">
        <v>9399.9086515408508</v>
      </c>
      <c r="E6" s="18">
        <v>494.18200000000002</v>
      </c>
      <c r="F6" s="17">
        <v>29133.16</v>
      </c>
      <c r="G6" s="23">
        <v>271.98</v>
      </c>
      <c r="H6" s="23">
        <f t="shared" si="0"/>
        <v>1878.8200000000002</v>
      </c>
      <c r="I6" s="23">
        <v>2150.8000000000002</v>
      </c>
      <c r="J6" s="17">
        <v>34936.5</v>
      </c>
      <c r="K6" s="23">
        <v>483.11</v>
      </c>
      <c r="L6" s="23">
        <v>2170.19</v>
      </c>
      <c r="M6" s="25">
        <v>527</v>
      </c>
      <c r="N6" s="16">
        <v>35403.81</v>
      </c>
      <c r="O6" s="26">
        <v>477.86027924423098</v>
      </c>
      <c r="P6" s="26">
        <v>2225.84</v>
      </c>
      <c r="Q6" s="24">
        <v>494.18200000000002</v>
      </c>
    </row>
    <row r="7" spans="1:18" x14ac:dyDescent="0.2">
      <c r="A7" s="4">
        <v>5</v>
      </c>
      <c r="B7" s="17">
        <v>9909.93</v>
      </c>
      <c r="C7" s="19">
        <v>499</v>
      </c>
      <c r="D7" s="16">
        <v>9854.26504038032</v>
      </c>
      <c r="E7" s="18">
        <v>494.18200000000002</v>
      </c>
      <c r="F7" s="17">
        <v>22736.83</v>
      </c>
      <c r="G7" s="23">
        <v>184</v>
      </c>
      <c r="H7" s="23">
        <f t="shared" si="0"/>
        <v>1380.38</v>
      </c>
      <c r="I7" s="23">
        <v>1564.38</v>
      </c>
      <c r="J7" s="17">
        <v>33447.26</v>
      </c>
      <c r="K7" s="23">
        <v>433.37</v>
      </c>
      <c r="L7" s="23">
        <v>2094.39</v>
      </c>
      <c r="M7" s="25">
        <v>499</v>
      </c>
      <c r="N7" s="16">
        <v>33621.07</v>
      </c>
      <c r="O7" s="26">
        <v>431.26116998624701</v>
      </c>
      <c r="P7" s="26">
        <v>2096.87</v>
      </c>
      <c r="Q7" s="24">
        <v>494.18200000000002</v>
      </c>
    </row>
    <row r="8" spans="1:18" x14ac:dyDescent="0.2">
      <c r="A8" s="4">
        <v>5.3896040000000003</v>
      </c>
      <c r="B8" s="17">
        <v>9883.5499999999993</v>
      </c>
      <c r="C8" s="19">
        <v>494</v>
      </c>
      <c r="D8" s="16">
        <v>9883.5504225797504</v>
      </c>
      <c r="E8" s="18">
        <v>494</v>
      </c>
      <c r="F8" s="17">
        <v>20867.46</v>
      </c>
      <c r="G8" s="23">
        <v>164.93</v>
      </c>
      <c r="H8" s="23">
        <f t="shared" si="0"/>
        <v>1237.8699999999999</v>
      </c>
      <c r="I8" s="23">
        <v>1402.8</v>
      </c>
      <c r="J8" s="17">
        <v>32819.49</v>
      </c>
      <c r="K8" s="23">
        <v>420.19</v>
      </c>
      <c r="L8" s="23">
        <v>2062.02</v>
      </c>
      <c r="M8" s="25">
        <v>494</v>
      </c>
      <c r="N8" s="16">
        <v>32819.49</v>
      </c>
      <c r="O8" s="26">
        <v>420.18570347367699</v>
      </c>
      <c r="P8" s="26">
        <v>2062.02</v>
      </c>
      <c r="Q8" s="24">
        <v>494</v>
      </c>
    </row>
    <row r="9" spans="1:18" x14ac:dyDescent="0.2">
      <c r="A9" s="4">
        <v>6</v>
      </c>
      <c r="B9" s="17">
        <v>9752.1299999999992</v>
      </c>
      <c r="C9" s="19">
        <v>471</v>
      </c>
      <c r="D9" s="16">
        <v>9752.1320338901605</v>
      </c>
      <c r="E9" s="18">
        <v>471</v>
      </c>
      <c r="F9" s="17">
        <v>18615.28</v>
      </c>
      <c r="G9" s="23">
        <v>137.61000000000001</v>
      </c>
      <c r="H9" s="23">
        <f t="shared" si="0"/>
        <v>1059.3600000000001</v>
      </c>
      <c r="I9" s="23">
        <v>1196.97</v>
      </c>
      <c r="J9" s="17">
        <v>31891.89</v>
      </c>
      <c r="K9" s="23">
        <v>389.38</v>
      </c>
      <c r="L9" s="23">
        <v>2026.96</v>
      </c>
      <c r="M9" s="25">
        <v>471</v>
      </c>
      <c r="N9" s="16">
        <v>31891.89</v>
      </c>
      <c r="O9" s="26">
        <v>389.37732928264398</v>
      </c>
      <c r="P9" s="26">
        <v>2026.96</v>
      </c>
      <c r="Q9" s="24">
        <v>471</v>
      </c>
    </row>
    <row r="10" spans="1:18" x14ac:dyDescent="0.2">
      <c r="A10" s="4">
        <v>6.9239319999999998</v>
      </c>
      <c r="B10" s="17">
        <v>9595.51</v>
      </c>
      <c r="C10" s="19">
        <v>447</v>
      </c>
      <c r="D10" s="16">
        <v>9595.5124790000009</v>
      </c>
      <c r="E10" s="18">
        <v>447</v>
      </c>
      <c r="F10" s="17">
        <v>15468.7</v>
      </c>
      <c r="G10" s="23">
        <v>103.35</v>
      </c>
      <c r="H10" s="23">
        <f t="shared" si="0"/>
        <v>826.5</v>
      </c>
      <c r="I10" s="23">
        <v>929.85</v>
      </c>
      <c r="J10" s="17">
        <v>30314.28</v>
      </c>
      <c r="K10" s="23">
        <v>359.61</v>
      </c>
      <c r="L10" s="23">
        <v>1947.13</v>
      </c>
      <c r="M10" s="25">
        <v>447</v>
      </c>
      <c r="N10" s="16">
        <v>30314.28</v>
      </c>
      <c r="O10" s="26">
        <v>359.608</v>
      </c>
      <c r="P10" s="26">
        <v>1947.13</v>
      </c>
      <c r="Q10" s="24">
        <v>447</v>
      </c>
    </row>
    <row r="11" spans="1:18" x14ac:dyDescent="0.2">
      <c r="A11" s="4">
        <v>7</v>
      </c>
      <c r="B11" s="17">
        <v>9567.66</v>
      </c>
      <c r="C11" s="19">
        <v>443</v>
      </c>
      <c r="D11" s="16">
        <v>9567.6571171319993</v>
      </c>
      <c r="E11" s="18">
        <v>443</v>
      </c>
      <c r="F11" s="17">
        <v>15345.33</v>
      </c>
      <c r="G11" s="23">
        <v>101.71</v>
      </c>
      <c r="H11" s="23">
        <f t="shared" si="0"/>
        <v>806.87</v>
      </c>
      <c r="I11" s="23">
        <v>908.58</v>
      </c>
      <c r="J11" s="17">
        <v>30212.33</v>
      </c>
      <c r="K11" s="23">
        <v>355.9</v>
      </c>
      <c r="L11" s="23">
        <v>1933.16</v>
      </c>
      <c r="M11" s="25">
        <v>443</v>
      </c>
      <c r="N11" s="16">
        <v>30212.33</v>
      </c>
      <c r="O11" s="26">
        <v>355.89955328104998</v>
      </c>
      <c r="P11" s="26">
        <v>1933.16</v>
      </c>
      <c r="Q11" s="24">
        <v>443</v>
      </c>
    </row>
    <row r="12" spans="1:18" x14ac:dyDescent="0.2">
      <c r="A12" s="4">
        <v>8</v>
      </c>
      <c r="B12" s="17">
        <v>9395.34</v>
      </c>
      <c r="C12" s="19">
        <v>420</v>
      </c>
      <c r="D12" s="16">
        <v>9395.3388358944594</v>
      </c>
      <c r="E12" s="18">
        <v>420</v>
      </c>
      <c r="F12" s="17">
        <v>12427.87</v>
      </c>
      <c r="G12" s="23">
        <v>78.319999999999993</v>
      </c>
      <c r="H12" s="23">
        <f t="shared" si="0"/>
        <v>627.19000000000005</v>
      </c>
      <c r="I12" s="23">
        <v>705.51</v>
      </c>
      <c r="J12" s="17">
        <v>29033.08</v>
      </c>
      <c r="K12" s="23">
        <v>329.26</v>
      </c>
      <c r="L12" s="23">
        <v>1877.2</v>
      </c>
      <c r="M12" s="25">
        <v>420</v>
      </c>
      <c r="N12" s="16">
        <v>29033.08</v>
      </c>
      <c r="O12" s="26">
        <v>329.25525500183898</v>
      </c>
      <c r="P12" s="26">
        <v>1877.2</v>
      </c>
      <c r="Q12" s="24">
        <v>420</v>
      </c>
    </row>
    <row r="13" spans="1:18" x14ac:dyDescent="0.2">
      <c r="A13" s="4">
        <v>9</v>
      </c>
      <c r="B13" s="17">
        <v>9199.6299999999992</v>
      </c>
      <c r="C13" s="19">
        <v>397</v>
      </c>
      <c r="D13" s="16">
        <v>9199.6279598344299</v>
      </c>
      <c r="E13" s="18">
        <v>397</v>
      </c>
      <c r="F13" s="17">
        <v>10878.84</v>
      </c>
      <c r="G13" s="23">
        <v>65.27</v>
      </c>
      <c r="H13" s="23">
        <f t="shared" si="0"/>
        <v>523.42000000000007</v>
      </c>
      <c r="I13" s="23">
        <v>588.69000000000005</v>
      </c>
      <c r="J13" s="17">
        <v>27605.45</v>
      </c>
      <c r="K13" s="23">
        <v>306.55</v>
      </c>
      <c r="L13" s="23">
        <v>1770.99</v>
      </c>
      <c r="M13" s="25">
        <v>397</v>
      </c>
      <c r="N13" s="16">
        <v>27605.45</v>
      </c>
      <c r="O13" s="26">
        <v>306.54540933790202</v>
      </c>
      <c r="P13" s="26">
        <v>1770.99</v>
      </c>
      <c r="Q13" s="24">
        <v>397</v>
      </c>
    </row>
    <row r="14" spans="1:18" x14ac:dyDescent="0.2">
      <c r="A14" s="4">
        <v>10</v>
      </c>
      <c r="B14" s="17">
        <v>9019.98</v>
      </c>
      <c r="C14" s="19">
        <v>378</v>
      </c>
      <c r="D14" s="16">
        <v>9019.9833043195194</v>
      </c>
      <c r="E14" s="18">
        <v>378</v>
      </c>
      <c r="F14" s="17">
        <v>9609.32</v>
      </c>
      <c r="G14" s="23">
        <v>53.76</v>
      </c>
      <c r="H14" s="23">
        <f>I14-G14</f>
        <v>444.73</v>
      </c>
      <c r="I14" s="23">
        <v>498.49</v>
      </c>
      <c r="J14" s="17">
        <v>26184.34</v>
      </c>
      <c r="K14" s="23">
        <v>283.45</v>
      </c>
      <c r="L14" s="23">
        <v>1662.52</v>
      </c>
      <c r="M14" s="25">
        <v>378</v>
      </c>
      <c r="N14" s="16">
        <v>26184.34</v>
      </c>
      <c r="O14" s="26">
        <v>283.45450338384802</v>
      </c>
      <c r="P14" s="26">
        <v>1662.52</v>
      </c>
      <c r="Q14" s="24">
        <v>378</v>
      </c>
    </row>
    <row r="15" spans="1:18" x14ac:dyDescent="0.2">
      <c r="B15" s="6"/>
      <c r="C15" s="8"/>
      <c r="D15" s="6"/>
      <c r="E15" s="8"/>
      <c r="F15" s="6"/>
      <c r="G15" s="24"/>
      <c r="H15" s="24"/>
      <c r="I15" s="24"/>
      <c r="J15" s="6"/>
      <c r="K15" s="24"/>
      <c r="L15" s="24"/>
      <c r="M15" s="24"/>
      <c r="N15" s="6"/>
      <c r="O15" s="24"/>
      <c r="P15" s="24"/>
      <c r="Q15" s="24"/>
    </row>
    <row r="16" spans="1:18" x14ac:dyDescent="0.2">
      <c r="N16" s="15"/>
      <c r="O16" s="15"/>
    </row>
    <row r="18" spans="14:15" x14ac:dyDescent="0.2">
      <c r="N18" s="4"/>
      <c r="O18" s="4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9AED0-AB9F-AC4D-8868-A843723B6BE0}">
  <dimension ref="A1:B10"/>
  <sheetViews>
    <sheetView tabSelected="1" workbookViewId="0">
      <selection activeCell="C15" sqref="C15"/>
    </sheetView>
  </sheetViews>
  <sheetFormatPr baseColWidth="10" defaultRowHeight="16" x14ac:dyDescent="0.2"/>
  <cols>
    <col min="1" max="1" width="29.1640625" customWidth="1"/>
  </cols>
  <sheetData>
    <row r="1" spans="1:2" x14ac:dyDescent="0.2">
      <c r="A1" t="s">
        <v>1</v>
      </c>
      <c r="B1" s="1">
        <v>43556</v>
      </c>
    </row>
    <row r="2" spans="1:2" x14ac:dyDescent="0.2">
      <c r="A2" t="s">
        <v>2</v>
      </c>
      <c r="B2" s="2">
        <v>43917</v>
      </c>
    </row>
    <row r="3" spans="1:2" x14ac:dyDescent="0.2">
      <c r="A3" t="s">
        <v>0</v>
      </c>
      <c r="B3">
        <v>1</v>
      </c>
    </row>
    <row r="4" spans="1:2" x14ac:dyDescent="0.2">
      <c r="A4" t="s">
        <v>3</v>
      </c>
      <c r="B4">
        <v>0.86</v>
      </c>
    </row>
    <row r="5" spans="1:2" x14ac:dyDescent="0.2">
      <c r="A5" t="s">
        <v>4</v>
      </c>
      <c r="B5" s="3">
        <v>100000</v>
      </c>
    </row>
    <row r="6" spans="1:2" x14ac:dyDescent="0.2">
      <c r="A6" t="s">
        <v>5</v>
      </c>
      <c r="B6">
        <v>20</v>
      </c>
    </row>
    <row r="7" spans="1:2" x14ac:dyDescent="0.2">
      <c r="A7" t="s">
        <v>6</v>
      </c>
      <c r="B7" t="s">
        <v>7</v>
      </c>
    </row>
    <row r="8" spans="1:2" x14ac:dyDescent="0.2">
      <c r="A8" t="s">
        <v>8</v>
      </c>
      <c r="B8">
        <v>1</v>
      </c>
    </row>
    <row r="9" spans="1:2" x14ac:dyDescent="0.2">
      <c r="A9" t="s">
        <v>9</v>
      </c>
      <c r="B9">
        <v>15</v>
      </c>
    </row>
    <row r="10" spans="1:2" x14ac:dyDescent="0.2">
      <c r="A10" t="s">
        <v>10</v>
      </c>
      <c r="B10">
        <v>10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Raw_Results_SeminarPaper_230126</vt:lpstr>
      <vt:lpstr>Parameters_Config.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Budig</dc:creator>
  <cp:lastModifiedBy>Robin Budig</cp:lastModifiedBy>
  <dcterms:created xsi:type="dcterms:W3CDTF">2026-01-23T11:27:45Z</dcterms:created>
  <dcterms:modified xsi:type="dcterms:W3CDTF">2026-01-23T13:37:22Z</dcterms:modified>
</cp:coreProperties>
</file>